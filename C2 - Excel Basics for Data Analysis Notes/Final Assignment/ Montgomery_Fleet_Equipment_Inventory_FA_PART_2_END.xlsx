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vi\Desktop\CHAVI\IBM Data Analyst Professional Certificate\"/>
    </mc:Choice>
  </mc:AlternateContent>
  <xr:revisionPtr revIDLastSave="0" documentId="13_ncr:1_{D71317E9-5053-43AC-B7D3-7B9F57F0815A}" xr6:coauthVersionLast="47" xr6:coauthVersionMax="47" xr10:uidLastSave="{00000000-0000-0000-0000-000000000000}"/>
  <bookViews>
    <workbookView xWindow="-108" yWindow="-108" windowWidth="23256" windowHeight="12456" xr2:uid="{B1804B80-648E-4071-A381-92A66BDF40B8}"/>
  </bookViews>
  <sheets>
    <sheet name="Montgomery_Fleet_Equipment_Inve" sheetId="1" r:id="rId1"/>
    <sheet name="Pivot 1" sheetId="2" r:id="rId2"/>
    <sheet name="Pivot 2" sheetId="3" r:id="rId3"/>
    <sheet name="Pivot 3" sheetId="4" r:id="rId4"/>
  </sheet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9" i="1" l="1"/>
  <c r="C58" i="1"/>
  <c r="C57" i="1"/>
  <c r="C56" i="1"/>
  <c r="C55" i="1"/>
</calcChain>
</file>

<file path=xl/sharedStrings.xml><?xml version="1.0" encoding="utf-8"?>
<sst xmlns="http://schemas.openxmlformats.org/spreadsheetml/2006/main" count="170" uniqueCount="39">
  <si>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</si>
  <si>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</si>
  <si>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</si>
  <si>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</si>
  <si>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</si>
  <si>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</si>
  <si>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</si>
  <si>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</si>
  <si>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</si>
  <si>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</si>
  <si>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</si>
  <si>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</si>
  <si>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</si>
  <si>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</si>
  <si>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</si>
  <si>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</si>
  <si>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</si>
  <si>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</si>
  <si>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</si>
  <si>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</si>
  <si>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</si>
  <si>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</si>
  <si>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</si>
  <si>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</si>
  <si>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</si>
  <si>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</si>
  <si>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</si>
  <si>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</si>
  <si>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</si>
  <si>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</si>
  <si>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</si>
  <si>
    <t>Sum</t>
  </si>
  <si>
    <t>Average</t>
  </si>
  <si>
    <t>Min</t>
  </si>
  <si>
    <t>Max</t>
  </si>
  <si>
    <t>Row Labels</t>
  </si>
  <si>
    <t>Grand Total</t>
  </si>
  <si>
    <t>Sum of Equipment Count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</si>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</sst>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0" fillId="0" borderId="10" xfId="0" applyBorder="1" applyAlignment="1">
      <alignment horizontal="left" indent="1"/>
    </xf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2"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vi Jain" refreshedDate="46038.720994675925" createdVersion="8" refreshedVersion="8" minRefreshableVersion="3" recordCount="53" xr:uid="{69263770-FD91-42AE-8D27-3CC483C45D84}">
  <cacheSource type="worksheet">
    <worksheetSource name="Table1"/>
  </cacheSource>
  <cacheFields count="3">
    <cacheField name="Department" numFmtId="0">
      <sharedItems count="13">
        <s v="Board of Elections"/>
        <s v="Circuit Court"/>
        <s v="Community Engagement Cluster"/>
        <s v="Community Use of Public Facilities"/>
        <s v="Consumer Protection"/>
        <s v="Correction and Rehabilitation"/>
        <s v="County Executives Office"/>
        <s v="Economic Development"/>
        <s v="Environmental Protection"/>
        <s v="Finance "/>
        <s v="Fire and Rescue"/>
        <s v="General Services"/>
        <s v="Health and Human Services"/>
      </sharedItems>
    </cacheField>
    <cacheField name="Equipment Class" numFmtId="0">
      <sharedItems count="15">
        <s v="Van"/>
        <s v="Off Road Vehicle Equipment"/>
        <s v="SUV"/>
        <s v="Pick Up Trucks"/>
        <s v="Sedan"/>
        <s v="Public Safety Sedan"/>
        <s v="Public Safety SUV"/>
        <s v="CUV"/>
        <s v="Medium Duty"/>
        <s v="Public Safety Pick Up Trucks"/>
        <s v="Public Safety Van"/>
        <s v="Public Safety CUV"/>
        <s v="Public Safety Heavy Duty"/>
        <s v="Heavy Duty"/>
        <s v="Transit Bus"/>
      </sharedItems>
    </cacheField>
    <cacheField name="Equipment Count" numFmtId="0">
      <sharedItems containsSemiMixedTypes="0" containsString="0" containsNumber="1" containsInteger="1" minValue="1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x v="0"/>
    <n v="1"/>
  </r>
  <r>
    <x v="0"/>
    <x v="1"/>
    <n v="2"/>
  </r>
  <r>
    <x v="1"/>
    <x v="2"/>
    <n v="1"/>
  </r>
  <r>
    <x v="2"/>
    <x v="3"/>
    <n v="8"/>
  </r>
  <r>
    <x v="2"/>
    <x v="1"/>
    <n v="7"/>
  </r>
  <r>
    <x v="2"/>
    <x v="2"/>
    <n v="2"/>
  </r>
  <r>
    <x v="3"/>
    <x v="4"/>
    <n v="1"/>
  </r>
  <r>
    <x v="4"/>
    <x v="4"/>
    <n v="1"/>
  </r>
  <r>
    <x v="5"/>
    <x v="1"/>
    <n v="3"/>
  </r>
  <r>
    <x v="5"/>
    <x v="5"/>
    <n v="1"/>
  </r>
  <r>
    <x v="5"/>
    <x v="6"/>
    <n v="2"/>
  </r>
  <r>
    <x v="5"/>
    <x v="2"/>
    <n v="3"/>
  </r>
  <r>
    <x v="5"/>
    <x v="3"/>
    <n v="1"/>
  </r>
  <r>
    <x v="5"/>
    <x v="0"/>
    <n v="8"/>
  </r>
  <r>
    <x v="5"/>
    <x v="4"/>
    <n v="10"/>
  </r>
  <r>
    <x v="5"/>
    <x v="7"/>
    <n v="1"/>
  </r>
  <r>
    <x v="6"/>
    <x v="4"/>
    <n v="2"/>
  </r>
  <r>
    <x v="6"/>
    <x v="6"/>
    <n v="3"/>
  </r>
  <r>
    <x v="7"/>
    <x v="2"/>
    <n v="1"/>
  </r>
  <r>
    <x v="8"/>
    <x v="2"/>
    <n v="18"/>
  </r>
  <r>
    <x v="8"/>
    <x v="4"/>
    <n v="15"/>
  </r>
  <r>
    <x v="8"/>
    <x v="0"/>
    <n v="3"/>
  </r>
  <r>
    <x v="8"/>
    <x v="7"/>
    <n v="1"/>
  </r>
  <r>
    <x v="8"/>
    <x v="8"/>
    <n v="2"/>
  </r>
  <r>
    <x v="8"/>
    <x v="3"/>
    <n v="33"/>
  </r>
  <r>
    <x v="9"/>
    <x v="4"/>
    <n v="3"/>
  </r>
  <r>
    <x v="10"/>
    <x v="6"/>
    <n v="27"/>
  </r>
  <r>
    <x v="10"/>
    <x v="9"/>
    <n v="12"/>
  </r>
  <r>
    <x v="10"/>
    <x v="5"/>
    <n v="18"/>
  </r>
  <r>
    <x v="10"/>
    <x v="10"/>
    <n v="11"/>
  </r>
  <r>
    <x v="10"/>
    <x v="2"/>
    <n v="6"/>
  </r>
  <r>
    <x v="10"/>
    <x v="0"/>
    <n v="4"/>
  </r>
  <r>
    <x v="10"/>
    <x v="1"/>
    <n v="2"/>
  </r>
  <r>
    <x v="10"/>
    <x v="3"/>
    <n v="12"/>
  </r>
  <r>
    <x v="10"/>
    <x v="4"/>
    <n v="1"/>
  </r>
  <r>
    <x v="10"/>
    <x v="11"/>
    <n v="4"/>
  </r>
  <r>
    <x v="10"/>
    <x v="12"/>
    <n v="1"/>
  </r>
  <r>
    <x v="10"/>
    <x v="13"/>
    <n v="1"/>
  </r>
  <r>
    <x v="10"/>
    <x v="14"/>
    <n v="1"/>
  </r>
  <r>
    <x v="11"/>
    <x v="10"/>
    <n v="1"/>
  </r>
  <r>
    <x v="11"/>
    <x v="2"/>
    <n v="21"/>
  </r>
  <r>
    <x v="11"/>
    <x v="12"/>
    <n v="1"/>
  </r>
  <r>
    <x v="11"/>
    <x v="1"/>
    <n v="45"/>
  </r>
  <r>
    <x v="11"/>
    <x v="4"/>
    <n v="31"/>
  </r>
  <r>
    <x v="11"/>
    <x v="8"/>
    <n v="3"/>
  </r>
  <r>
    <x v="11"/>
    <x v="0"/>
    <n v="42"/>
  </r>
  <r>
    <x v="11"/>
    <x v="7"/>
    <n v="5"/>
  </r>
  <r>
    <x v="11"/>
    <x v="13"/>
    <n v="5"/>
  </r>
  <r>
    <x v="11"/>
    <x v="3"/>
    <n v="48"/>
  </r>
  <r>
    <x v="12"/>
    <x v="7"/>
    <n v="5"/>
  </r>
  <r>
    <x v="12"/>
    <x v="0"/>
    <n v="15"/>
  </r>
  <r>
    <x v="12"/>
    <x v="6"/>
    <n v="1"/>
  </r>
  <r>
    <x v="12"/>
    <x v="4"/>
    <n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BB9EC-DA13-49AC-8015-A52FBCA8B77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3">
    <pivotField axis="axisRow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4">
    <i>
      <x v="11"/>
    </i>
    <i>
      <x v="10"/>
    </i>
    <i>
      <x v="12"/>
    </i>
    <i>
      <x v="8"/>
    </i>
    <i>
      <x v="5"/>
    </i>
    <i>
      <x v="2"/>
    </i>
    <i>
      <x v="6"/>
    </i>
    <i>
      <x/>
    </i>
    <i>
      <x v="9"/>
    </i>
    <i>
      <x v="3"/>
    </i>
    <i>
      <x v="1"/>
    </i>
    <i>
      <x v="7"/>
    </i>
    <i>
      <x v="4"/>
    </i>
    <i t="grand">
      <x/>
    </i>
  </rowItems>
  <colItems count="1">
    <i/>
  </colItems>
  <dataFields count="1">
    <dataField name="Sum of Equipment Count" fld="2" baseField="0" baseItem="0"/>
  </dataFields>
  <formats count="12">
    <format dxfId="237">
      <pivotArea type="all" dataOnly="0" outline="0" fieldPosition="0"/>
    </format>
    <format dxfId="238">
      <pivotArea outline="0" collapsedLevelsAreSubtotals="1" fieldPosition="0"/>
    </format>
    <format dxfId="239">
      <pivotArea field="0" type="button" dataOnly="0" labelOnly="1" outline="0" axis="axisRow" fieldPosition="0"/>
    </format>
    <format dxfId="240">
      <pivotArea dataOnly="0" labelOnly="1" fieldPosition="0">
        <references count="1">
          <reference field="0" count="0"/>
        </references>
      </pivotArea>
    </format>
    <format dxfId="241">
      <pivotArea dataOnly="0" labelOnly="1" grandRow="1" outline="0" fieldPosition="0"/>
    </format>
    <format dxfId="242">
      <pivotArea dataOnly="0" labelOnly="1" outline="0" axis="axisValues" fieldPosition="0"/>
    </format>
    <format dxfId="243">
      <pivotArea type="all" dataOnly="0" outline="0" fieldPosition="0"/>
    </format>
    <format dxfId="244">
      <pivotArea outline="0" collapsedLevelsAreSubtotals="1" fieldPosition="0"/>
    </format>
    <format dxfId="245">
      <pivotArea field="0" type="button" dataOnly="0" labelOnly="1" outline="0" axis="axisRow" fieldPosition="0"/>
    </format>
    <format dxfId="246">
      <pivotArea dataOnly="0" labelOnly="1" fieldPosition="0">
        <references count="1">
          <reference field="0" count="0"/>
        </references>
      </pivotArea>
    </format>
    <format dxfId="247">
      <pivotArea dataOnly="0" labelOnly="1" grandRow="1" outline="0" fieldPosition="0"/>
    </format>
    <format dxfId="2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81870-6EFA-4A6F-8031-76E9A46157B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3">
    <pivotField axis="axisRow" showAll="0">
      <items count="14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  <pivotField axis="axisRow" showAll="0">
      <items count="16">
        <item x="7"/>
        <item x="13"/>
        <item x="8"/>
        <item x="1"/>
        <item x="3"/>
        <item x="11"/>
        <item x="12"/>
        <item x="9"/>
        <item x="5"/>
        <item x="6"/>
        <item x="10"/>
        <item x="4"/>
        <item x="2"/>
        <item x="14"/>
        <item x="0"/>
        <item t="default"/>
      </items>
    </pivotField>
    <pivotField dataField="1" showAll="0"/>
  </pivotFields>
  <rowFields count="2">
    <field x="0"/>
    <field x="1"/>
  </rowFields>
  <rowItems count="16">
    <i>
      <x/>
    </i>
    <i r="1">
      <x v="3"/>
    </i>
    <i r="1">
      <x v="14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Equipment Count" fld="2" baseField="0" baseItem="0"/>
  </dataFields>
  <formats count="6">
    <format dxfId="224">
      <pivotArea type="all" dataOnly="0" outline="0" fieldPosition="0"/>
    </format>
    <format dxfId="223">
      <pivotArea outline="0" collapsedLevelsAreSubtotals="1" fieldPosition="0"/>
    </format>
    <format dxfId="222">
      <pivotArea field="0" type="button" dataOnly="0" labelOnly="1" outline="0" axis="axisRow" fieldPosition="0"/>
    </format>
    <format dxfId="221">
      <pivotArea dataOnly="0" labelOnly="1" fieldPosition="0">
        <references count="1">
          <reference field="0" count="0"/>
        </references>
      </pivotArea>
    </format>
    <format dxfId="220">
      <pivotArea dataOnly="0" labelOnly="1" grandRow="1" outline="0" fieldPosition="0"/>
    </format>
    <format dxfId="2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E207B-0507-44D9-BA41-24122F4F9867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3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16">
        <item x="7"/>
        <item sd="0" x="13"/>
        <item sd="0" x="8"/>
        <item sd="0" x="1"/>
        <item sd="0" x="3"/>
        <item sd="0" x="11"/>
        <item sd="0" x="12"/>
        <item sd="0" x="9"/>
        <item sd="0" x="5"/>
        <item sd="0" x="6"/>
        <item sd="0" x="10"/>
        <item sd="0" x="4"/>
        <item sd="0" x="2"/>
        <item sd="0" x="14"/>
        <item sd="0" x="0"/>
        <item t="default"/>
      </items>
    </pivotField>
    <pivotField dataField="1" showAll="0"/>
  </pivotFields>
  <rowFields count="2">
    <field x="1"/>
    <field x="0"/>
  </rowFields>
  <rowItems count="20">
    <i>
      <x/>
    </i>
    <i r="1">
      <x v="5"/>
    </i>
    <i r="1">
      <x v="8"/>
    </i>
    <i r="1">
      <x v="11"/>
    </i>
    <i r="1">
      <x v="12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Equipment Count" fld="2" baseField="0" baseItem="0"/>
  </dataFields>
  <formats count="6">
    <format dxfId="217">
      <pivotArea type="all" dataOnly="0" outline="0" fieldPosition="0"/>
    </format>
    <format dxfId="216">
      <pivotArea outline="0" collapsedLevelsAreSubtotals="1" fieldPosition="0"/>
    </format>
    <format dxfId="215">
      <pivotArea field="0" type="button" dataOnly="0" labelOnly="1" outline="0" axis="axisRow" fieldPosition="1"/>
    </format>
    <format dxfId="214">
      <pivotArea dataOnly="0" labelOnly="1" fieldPosition="0">
        <references count="1">
          <reference field="0" count="0"/>
        </references>
      </pivotArea>
    </format>
    <format dxfId="213">
      <pivotArea dataOnly="0" labelOnly="1" grandRow="1" outline="0" fieldPosition="0"/>
    </format>
    <format dxfId="2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B9ADE8-B3B7-48C2-BBF6-F02848A42082}" name="Table1" displayName="Table1" ref="A1:C55" totalsRowCount="1">
  <autoFilter ref="A1:C54" xr:uid="{12B9ADE8-B3B7-48C2-BBF6-F02848A42082}"/>
  <tableColumns count="3">
    <tableColumn id="11" xr3:uid="{746E61DA-ACE2-42A8-990B-F6B07DFC7105}" name="Department"/>
    <tableColumn id="3" xr3:uid="{0D2A35EE-5F5D-42A7-8B49-5A987ECFF379}" name="Equipment Class"/>
    <tableColumn id="4" xr3:uid="{61E60C8C-CD26-49A7-92B1-1D2B73126629}" name="Equipment Count" totalsRowFunction="custom" dataDxfId="251" totalsRowDxfId="0">
      <totalsRowFormula>SUM(Table1[Equipment Count])</totalsRow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BF582-2A02-4271-9975-2B1A5257A865}">
  <dimension ref="A1:D59"/>
  <sheetViews>
    <sheetView tabSelected="1" topLeftCell="A46" workbookViewId="0">
      <selection activeCell="E57" sqref="E57"/>
    </sheetView>
  </sheetViews>
  <sheetFormatPr defaultRowHeight="14.4" x14ac:dyDescent="0.3"/>
  <cols>
    <col min="1" max="1" width="29.21875" customWidth="1"/>
    <col min="2" max="2" width="23.77734375" bestFit="1" customWidth="1"/>
    <col min="3" max="3" width="18.109375" style="1" bestFit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18</v>
      </c>
      <c r="B2" t="s">
        <v>3</v>
      </c>
      <c r="C2" s="3">
        <v>1</v>
      </c>
    </row>
    <row r="3" spans="1:3" x14ac:dyDescent="0.3">
      <c r="A3" t="s">
        <v>18</v>
      </c>
      <c r="B3" t="s">
        <v>17</v>
      </c>
      <c r="C3" s="2">
        <v>2</v>
      </c>
    </row>
    <row r="4" spans="1:3" x14ac:dyDescent="0.3">
      <c r="A4" t="s">
        <v>19</v>
      </c>
      <c r="B4" t="s">
        <v>4</v>
      </c>
      <c r="C4" s="2">
        <v>1</v>
      </c>
    </row>
    <row r="5" spans="1:3" x14ac:dyDescent="0.3">
      <c r="A5" t="s">
        <v>20</v>
      </c>
      <c r="B5" t="s">
        <v>6</v>
      </c>
      <c r="C5" s="2">
        <v>8</v>
      </c>
    </row>
    <row r="6" spans="1:3" x14ac:dyDescent="0.3">
      <c r="A6" t="s">
        <v>20</v>
      </c>
      <c r="B6" t="s">
        <v>17</v>
      </c>
      <c r="C6" s="2">
        <v>7</v>
      </c>
    </row>
    <row r="7" spans="1:3" x14ac:dyDescent="0.3">
      <c r="A7" t="s">
        <v>20</v>
      </c>
      <c r="B7" t="s">
        <v>4</v>
      </c>
      <c r="C7" s="2">
        <v>2</v>
      </c>
    </row>
    <row r="8" spans="1:3" x14ac:dyDescent="0.3">
      <c r="A8" t="s">
        <v>21</v>
      </c>
      <c r="B8" t="s">
        <v>5</v>
      </c>
      <c r="C8" s="2">
        <v>1</v>
      </c>
    </row>
    <row r="9" spans="1:3" x14ac:dyDescent="0.3">
      <c r="A9" t="s">
        <v>22</v>
      </c>
      <c r="B9" t="s">
        <v>5</v>
      </c>
      <c r="C9" s="2">
        <v>1</v>
      </c>
    </row>
    <row r="10" spans="1:3" x14ac:dyDescent="0.3">
      <c r="A10" t="s">
        <v>23</v>
      </c>
      <c r="B10" t="s">
        <v>17</v>
      </c>
      <c r="C10" s="2">
        <v>3</v>
      </c>
    </row>
    <row r="11" spans="1:3" x14ac:dyDescent="0.3">
      <c r="A11" t="s">
        <v>23</v>
      </c>
      <c r="B11" t="s">
        <v>11</v>
      </c>
      <c r="C11" s="2">
        <v>1</v>
      </c>
    </row>
    <row r="12" spans="1:3" x14ac:dyDescent="0.3">
      <c r="A12" t="s">
        <v>23</v>
      </c>
      <c r="B12" t="s">
        <v>8</v>
      </c>
      <c r="C12" s="2">
        <v>2</v>
      </c>
    </row>
    <row r="13" spans="1:3" x14ac:dyDescent="0.3">
      <c r="A13" t="s">
        <v>23</v>
      </c>
      <c r="B13" t="s">
        <v>4</v>
      </c>
      <c r="C13" s="2">
        <v>3</v>
      </c>
    </row>
    <row r="14" spans="1:3" x14ac:dyDescent="0.3">
      <c r="A14" t="s">
        <v>23</v>
      </c>
      <c r="B14" t="s">
        <v>6</v>
      </c>
      <c r="C14" s="2">
        <v>1</v>
      </c>
    </row>
    <row r="15" spans="1:3" x14ac:dyDescent="0.3">
      <c r="A15" t="s">
        <v>23</v>
      </c>
      <c r="B15" t="s">
        <v>3</v>
      </c>
      <c r="C15" s="2">
        <v>8</v>
      </c>
    </row>
    <row r="16" spans="1:3" x14ac:dyDescent="0.3">
      <c r="A16" t="s">
        <v>23</v>
      </c>
      <c r="B16" t="s">
        <v>5</v>
      </c>
      <c r="C16" s="2">
        <v>10</v>
      </c>
    </row>
    <row r="17" spans="1:3" x14ac:dyDescent="0.3">
      <c r="A17" t="s">
        <v>23</v>
      </c>
      <c r="B17" t="s">
        <v>7</v>
      </c>
      <c r="C17" s="2">
        <v>1</v>
      </c>
    </row>
    <row r="18" spans="1:3" x14ac:dyDescent="0.3">
      <c r="A18" t="s">
        <v>24</v>
      </c>
      <c r="B18" t="s">
        <v>5</v>
      </c>
      <c r="C18" s="2">
        <v>2</v>
      </c>
    </row>
    <row r="19" spans="1:3" x14ac:dyDescent="0.3">
      <c r="A19" t="s">
        <v>24</v>
      </c>
      <c r="B19" t="s">
        <v>8</v>
      </c>
      <c r="C19" s="2">
        <v>3</v>
      </c>
    </row>
    <row r="20" spans="1:3" x14ac:dyDescent="0.3">
      <c r="A20" t="s">
        <v>25</v>
      </c>
      <c r="B20" t="s">
        <v>4</v>
      </c>
      <c r="C20" s="2">
        <v>1</v>
      </c>
    </row>
    <row r="21" spans="1:3" x14ac:dyDescent="0.3">
      <c r="A21" t="s">
        <v>26</v>
      </c>
      <c r="B21" t="s">
        <v>4</v>
      </c>
      <c r="C21" s="2">
        <v>18</v>
      </c>
    </row>
    <row r="22" spans="1:3" x14ac:dyDescent="0.3">
      <c r="A22" t="s">
        <v>26</v>
      </c>
      <c r="B22" t="s">
        <v>5</v>
      </c>
      <c r="C22" s="2">
        <v>15</v>
      </c>
    </row>
    <row r="23" spans="1:3" x14ac:dyDescent="0.3">
      <c r="A23" t="s">
        <v>26</v>
      </c>
      <c r="B23" t="s">
        <v>3</v>
      </c>
      <c r="C23" s="2">
        <v>3</v>
      </c>
    </row>
    <row r="24" spans="1:3" x14ac:dyDescent="0.3">
      <c r="A24" t="s">
        <v>26</v>
      </c>
      <c r="B24" t="s">
        <v>7</v>
      </c>
      <c r="C24" s="2">
        <v>1</v>
      </c>
    </row>
    <row r="25" spans="1:3" x14ac:dyDescent="0.3">
      <c r="A25" t="s">
        <v>26</v>
      </c>
      <c r="B25" t="s">
        <v>9</v>
      </c>
      <c r="C25" s="2">
        <v>2</v>
      </c>
    </row>
    <row r="26" spans="1:3" x14ac:dyDescent="0.3">
      <c r="A26" t="s">
        <v>26</v>
      </c>
      <c r="B26" t="s">
        <v>6</v>
      </c>
      <c r="C26" s="2">
        <v>33</v>
      </c>
    </row>
    <row r="27" spans="1:3" x14ac:dyDescent="0.3">
      <c r="A27" t="s">
        <v>27</v>
      </c>
      <c r="B27" t="s">
        <v>5</v>
      </c>
      <c r="C27" s="2">
        <v>3</v>
      </c>
    </row>
    <row r="28" spans="1:3" x14ac:dyDescent="0.3">
      <c r="A28" t="s">
        <v>28</v>
      </c>
      <c r="B28" t="s">
        <v>8</v>
      </c>
      <c r="C28" s="2">
        <v>27</v>
      </c>
    </row>
    <row r="29" spans="1:3" x14ac:dyDescent="0.3">
      <c r="A29" t="s">
        <v>28</v>
      </c>
      <c r="B29" t="s">
        <v>10</v>
      </c>
      <c r="C29" s="2">
        <v>12</v>
      </c>
    </row>
    <row r="30" spans="1:3" x14ac:dyDescent="0.3">
      <c r="A30" t="s">
        <v>28</v>
      </c>
      <c r="B30" t="s">
        <v>11</v>
      </c>
      <c r="C30" s="2">
        <v>18</v>
      </c>
    </row>
    <row r="31" spans="1:3" x14ac:dyDescent="0.3">
      <c r="A31" t="s">
        <v>28</v>
      </c>
      <c r="B31" t="s">
        <v>12</v>
      </c>
      <c r="C31" s="2">
        <v>11</v>
      </c>
    </row>
    <row r="32" spans="1:3" x14ac:dyDescent="0.3">
      <c r="A32" t="s">
        <v>28</v>
      </c>
      <c r="B32" t="s">
        <v>4</v>
      </c>
      <c r="C32" s="2">
        <v>6</v>
      </c>
    </row>
    <row r="33" spans="1:3" x14ac:dyDescent="0.3">
      <c r="A33" t="s">
        <v>28</v>
      </c>
      <c r="B33" t="s">
        <v>3</v>
      </c>
      <c r="C33" s="2">
        <v>4</v>
      </c>
    </row>
    <row r="34" spans="1:3" x14ac:dyDescent="0.3">
      <c r="A34" t="s">
        <v>28</v>
      </c>
      <c r="B34" t="s">
        <v>17</v>
      </c>
      <c r="C34" s="2">
        <v>2</v>
      </c>
    </row>
    <row r="35" spans="1:3" x14ac:dyDescent="0.3">
      <c r="A35" t="s">
        <v>28</v>
      </c>
      <c r="B35" t="s">
        <v>6</v>
      </c>
      <c r="C35" s="2">
        <v>12</v>
      </c>
    </row>
    <row r="36" spans="1:3" x14ac:dyDescent="0.3">
      <c r="A36" t="s">
        <v>28</v>
      </c>
      <c r="B36" t="s">
        <v>5</v>
      </c>
      <c r="C36" s="2">
        <v>1</v>
      </c>
    </row>
    <row r="37" spans="1:3" x14ac:dyDescent="0.3">
      <c r="A37" t="s">
        <v>28</v>
      </c>
      <c r="B37" t="s">
        <v>13</v>
      </c>
      <c r="C37" s="2">
        <v>4</v>
      </c>
    </row>
    <row r="38" spans="1:3" x14ac:dyDescent="0.3">
      <c r="A38" t="s">
        <v>28</v>
      </c>
      <c r="B38" t="s">
        <v>14</v>
      </c>
      <c r="C38" s="2">
        <v>1</v>
      </c>
    </row>
    <row r="39" spans="1:3" x14ac:dyDescent="0.3">
      <c r="A39" t="s">
        <v>28</v>
      </c>
      <c r="B39" t="s">
        <v>15</v>
      </c>
      <c r="C39" s="2">
        <v>1</v>
      </c>
    </row>
    <row r="40" spans="1:3" x14ac:dyDescent="0.3">
      <c r="A40" t="s">
        <v>28</v>
      </c>
      <c r="B40" t="s">
        <v>16</v>
      </c>
      <c r="C40" s="2">
        <v>1</v>
      </c>
    </row>
    <row r="41" spans="1:3" x14ac:dyDescent="0.3">
      <c r="A41" t="s">
        <v>29</v>
      </c>
      <c r="B41" t="s">
        <v>12</v>
      </c>
      <c r="C41" s="2">
        <v>1</v>
      </c>
    </row>
    <row r="42" spans="1:3" x14ac:dyDescent="0.3">
      <c r="A42" t="s">
        <v>29</v>
      </c>
      <c r="B42" t="s">
        <v>4</v>
      </c>
      <c r="C42" s="2">
        <v>21</v>
      </c>
    </row>
    <row r="43" spans="1:3" x14ac:dyDescent="0.3">
      <c r="A43" t="s">
        <v>29</v>
      </c>
      <c r="B43" t="s">
        <v>14</v>
      </c>
      <c r="C43" s="2">
        <v>1</v>
      </c>
    </row>
    <row r="44" spans="1:3" x14ac:dyDescent="0.3">
      <c r="A44" t="s">
        <v>29</v>
      </c>
      <c r="B44" t="s">
        <v>17</v>
      </c>
      <c r="C44" s="2">
        <v>45</v>
      </c>
    </row>
    <row r="45" spans="1:3" x14ac:dyDescent="0.3">
      <c r="A45" t="s">
        <v>29</v>
      </c>
      <c r="B45" t="s">
        <v>5</v>
      </c>
      <c r="C45" s="2">
        <v>31</v>
      </c>
    </row>
    <row r="46" spans="1:3" x14ac:dyDescent="0.3">
      <c r="A46" t="s">
        <v>29</v>
      </c>
      <c r="B46" t="s">
        <v>9</v>
      </c>
      <c r="C46" s="2">
        <v>3</v>
      </c>
    </row>
    <row r="47" spans="1:3" x14ac:dyDescent="0.3">
      <c r="A47" t="s">
        <v>29</v>
      </c>
      <c r="B47" t="s">
        <v>3</v>
      </c>
      <c r="C47" s="2">
        <v>42</v>
      </c>
    </row>
    <row r="48" spans="1:3" x14ac:dyDescent="0.3">
      <c r="A48" t="s">
        <v>29</v>
      </c>
      <c r="B48" t="s">
        <v>7</v>
      </c>
      <c r="C48" s="2">
        <v>5</v>
      </c>
    </row>
    <row r="49" spans="1:4" x14ac:dyDescent="0.3">
      <c r="A49" t="s">
        <v>29</v>
      </c>
      <c r="B49" t="s">
        <v>15</v>
      </c>
      <c r="C49" s="2">
        <v>5</v>
      </c>
    </row>
    <row r="50" spans="1:4" x14ac:dyDescent="0.3">
      <c r="A50" t="s">
        <v>29</v>
      </c>
      <c r="B50" t="s">
        <v>6</v>
      </c>
      <c r="C50" s="2">
        <v>48</v>
      </c>
    </row>
    <row r="51" spans="1:4" x14ac:dyDescent="0.3">
      <c r="A51" t="s">
        <v>30</v>
      </c>
      <c r="B51" t="s">
        <v>7</v>
      </c>
      <c r="C51" s="2">
        <v>5</v>
      </c>
    </row>
    <row r="52" spans="1:4" x14ac:dyDescent="0.3">
      <c r="A52" t="s">
        <v>30</v>
      </c>
      <c r="B52" t="s">
        <v>3</v>
      </c>
      <c r="C52" s="2">
        <v>15</v>
      </c>
    </row>
    <row r="53" spans="1:4" x14ac:dyDescent="0.3">
      <c r="A53" t="s">
        <v>30</v>
      </c>
      <c r="B53" t="s">
        <v>8</v>
      </c>
      <c r="C53" s="2">
        <v>1</v>
      </c>
    </row>
    <row r="54" spans="1:4" x14ac:dyDescent="0.3">
      <c r="A54" t="s">
        <v>30</v>
      </c>
      <c r="B54" t="s">
        <v>5</v>
      </c>
      <c r="C54" s="2">
        <v>75</v>
      </c>
    </row>
    <row r="55" spans="1:4" x14ac:dyDescent="0.3">
      <c r="C55" s="9">
        <f>SUM(Table1[Equipment Count])</f>
        <v>531</v>
      </c>
      <c r="D55" s="5" t="s">
        <v>31</v>
      </c>
    </row>
    <row r="56" spans="1:4" x14ac:dyDescent="0.3">
      <c r="C56" s="9">
        <f>AVERAGE(Table1[Equipment Count])</f>
        <v>10.018867924528301</v>
      </c>
      <c r="D56" s="5" t="s">
        <v>32</v>
      </c>
    </row>
    <row r="57" spans="1:4" x14ac:dyDescent="0.3">
      <c r="C57" s="9">
        <f>MIN(Table1[Equipment Count])</f>
        <v>1</v>
      </c>
      <c r="D57" s="5" t="s">
        <v>33</v>
      </c>
    </row>
    <row r="58" spans="1:4" x14ac:dyDescent="0.3">
      <c r="C58" s="9">
        <f>MAX(Table1[Equipment Count])</f>
        <v>75</v>
      </c>
      <c r="D58" s="5" t="s">
        <v>34</v>
      </c>
    </row>
    <row r="59" spans="1:4" x14ac:dyDescent="0.3">
      <c r="C59" s="9">
        <f>COUNT(Table1[Equipment Count])</f>
        <v>53</v>
      </c>
      <c r="D59" s="5" t="s">
        <v>38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4B9B-3301-4E52-A958-34D8A6B3883F}">
  <dimension ref="A3:B17"/>
  <sheetViews>
    <sheetView workbookViewId="0">
      <selection activeCell="G4" sqref="G4"/>
    </sheetView>
  </sheetViews>
  <sheetFormatPr defaultRowHeight="14.4" x14ac:dyDescent="0.3"/>
  <cols>
    <col min="1" max="1" width="29.21875" bestFit="1" customWidth="1"/>
    <col min="2" max="2" width="22.5546875" bestFit="1" customWidth="1"/>
  </cols>
  <sheetData>
    <row r="3" spans="1:2" x14ac:dyDescent="0.3">
      <c r="A3" s="4" t="s">
        <v>35</v>
      </c>
      <c r="B3" s="5" t="s">
        <v>37</v>
      </c>
    </row>
    <row r="4" spans="1:2" x14ac:dyDescent="0.3">
      <c r="A4" s="6" t="s">
        <v>29</v>
      </c>
      <c r="B4" s="7">
        <v>202</v>
      </c>
    </row>
    <row r="5" spans="1:2" x14ac:dyDescent="0.3">
      <c r="A5" s="6" t="s">
        <v>28</v>
      </c>
      <c r="B5" s="7">
        <v>100</v>
      </c>
    </row>
    <row r="6" spans="1:2" x14ac:dyDescent="0.3">
      <c r="A6" s="6" t="s">
        <v>30</v>
      </c>
      <c r="B6" s="7">
        <v>96</v>
      </c>
    </row>
    <row r="7" spans="1:2" x14ac:dyDescent="0.3">
      <c r="A7" s="6" t="s">
        <v>26</v>
      </c>
      <c r="B7" s="7">
        <v>72</v>
      </c>
    </row>
    <row r="8" spans="1:2" x14ac:dyDescent="0.3">
      <c r="A8" s="6" t="s">
        <v>23</v>
      </c>
      <c r="B8" s="7">
        <v>29</v>
      </c>
    </row>
    <row r="9" spans="1:2" x14ac:dyDescent="0.3">
      <c r="A9" s="6" t="s">
        <v>20</v>
      </c>
      <c r="B9" s="7">
        <v>17</v>
      </c>
    </row>
    <row r="10" spans="1:2" x14ac:dyDescent="0.3">
      <c r="A10" s="6" t="s">
        <v>24</v>
      </c>
      <c r="B10" s="7">
        <v>5</v>
      </c>
    </row>
    <row r="11" spans="1:2" x14ac:dyDescent="0.3">
      <c r="A11" s="6" t="s">
        <v>18</v>
      </c>
      <c r="B11" s="7">
        <v>3</v>
      </c>
    </row>
    <row r="12" spans="1:2" x14ac:dyDescent="0.3">
      <c r="A12" s="6" t="s">
        <v>27</v>
      </c>
      <c r="B12" s="7">
        <v>3</v>
      </c>
    </row>
    <row r="13" spans="1:2" x14ac:dyDescent="0.3">
      <c r="A13" s="6" t="s">
        <v>21</v>
      </c>
      <c r="B13" s="7">
        <v>1</v>
      </c>
    </row>
    <row r="14" spans="1:2" x14ac:dyDescent="0.3">
      <c r="A14" s="6" t="s">
        <v>19</v>
      </c>
      <c r="B14" s="7">
        <v>1</v>
      </c>
    </row>
    <row r="15" spans="1:2" x14ac:dyDescent="0.3">
      <c r="A15" s="6" t="s">
        <v>25</v>
      </c>
      <c r="B15" s="7">
        <v>1</v>
      </c>
    </row>
    <row r="16" spans="1:2" x14ac:dyDescent="0.3">
      <c r="A16" s="6" t="s">
        <v>22</v>
      </c>
      <c r="B16" s="7">
        <v>1</v>
      </c>
    </row>
    <row r="17" spans="1:2" x14ac:dyDescent="0.3">
      <c r="A17" s="6" t="s">
        <v>36</v>
      </c>
      <c r="B17" s="7">
        <v>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C524-51F4-4CDB-82AA-06FF2668857D}">
  <dimension ref="A3:B19"/>
  <sheetViews>
    <sheetView workbookViewId="0">
      <selection activeCell="J11" sqref="J11"/>
    </sheetView>
  </sheetViews>
  <sheetFormatPr defaultRowHeight="14.4" x14ac:dyDescent="0.3"/>
  <cols>
    <col min="1" max="1" width="32.21875" bestFit="1" customWidth="1"/>
    <col min="2" max="2" width="22.5546875" bestFit="1" customWidth="1"/>
  </cols>
  <sheetData>
    <row r="3" spans="1:2" x14ac:dyDescent="0.3">
      <c r="A3" s="4" t="s">
        <v>35</v>
      </c>
      <c r="B3" s="5" t="s">
        <v>37</v>
      </c>
    </row>
    <row r="4" spans="1:2" x14ac:dyDescent="0.3">
      <c r="A4" s="6" t="s">
        <v>18</v>
      </c>
      <c r="B4" s="7">
        <v>3</v>
      </c>
    </row>
    <row r="5" spans="1:2" x14ac:dyDescent="0.3">
      <c r="A5" s="8" t="s">
        <v>17</v>
      </c>
      <c r="B5" s="7">
        <v>2</v>
      </c>
    </row>
    <row r="6" spans="1:2" x14ac:dyDescent="0.3">
      <c r="A6" s="8" t="s">
        <v>3</v>
      </c>
      <c r="B6" s="7">
        <v>1</v>
      </c>
    </row>
    <row r="7" spans="1:2" x14ac:dyDescent="0.3">
      <c r="A7" s="6" t="s">
        <v>19</v>
      </c>
      <c r="B7" s="7">
        <v>1</v>
      </c>
    </row>
    <row r="8" spans="1:2" x14ac:dyDescent="0.3">
      <c r="A8" s="6" t="s">
        <v>20</v>
      </c>
      <c r="B8" s="7">
        <v>17</v>
      </c>
    </row>
    <row r="9" spans="1:2" x14ac:dyDescent="0.3">
      <c r="A9" s="6" t="s">
        <v>21</v>
      </c>
      <c r="B9" s="7">
        <v>1</v>
      </c>
    </row>
    <row r="10" spans="1:2" x14ac:dyDescent="0.3">
      <c r="A10" s="6" t="s">
        <v>22</v>
      </c>
      <c r="B10" s="7">
        <v>1</v>
      </c>
    </row>
    <row r="11" spans="1:2" x14ac:dyDescent="0.3">
      <c r="A11" s="6" t="s">
        <v>23</v>
      </c>
      <c r="B11" s="7">
        <v>29</v>
      </c>
    </row>
    <row r="12" spans="1:2" x14ac:dyDescent="0.3">
      <c r="A12" s="6" t="s">
        <v>24</v>
      </c>
      <c r="B12" s="7">
        <v>5</v>
      </c>
    </row>
    <row r="13" spans="1:2" x14ac:dyDescent="0.3">
      <c r="A13" s="6" t="s">
        <v>25</v>
      </c>
      <c r="B13" s="7">
        <v>1</v>
      </c>
    </row>
    <row r="14" spans="1:2" x14ac:dyDescent="0.3">
      <c r="A14" s="6" t="s">
        <v>26</v>
      </c>
      <c r="B14" s="7">
        <v>72</v>
      </c>
    </row>
    <row r="15" spans="1:2" x14ac:dyDescent="0.3">
      <c r="A15" s="6" t="s">
        <v>27</v>
      </c>
      <c r="B15" s="7">
        <v>3</v>
      </c>
    </row>
    <row r="16" spans="1:2" x14ac:dyDescent="0.3">
      <c r="A16" s="6" t="s">
        <v>28</v>
      </c>
      <c r="B16" s="7">
        <v>100</v>
      </c>
    </row>
    <row r="17" spans="1:2" x14ac:dyDescent="0.3">
      <c r="A17" s="6" t="s">
        <v>29</v>
      </c>
      <c r="B17" s="7">
        <v>202</v>
      </c>
    </row>
    <row r="18" spans="1:2" x14ac:dyDescent="0.3">
      <c r="A18" s="6" t="s">
        <v>30</v>
      </c>
      <c r="B18" s="7">
        <v>96</v>
      </c>
    </row>
    <row r="19" spans="1:2" x14ac:dyDescent="0.3">
      <c r="A19" s="6" t="s">
        <v>36</v>
      </c>
      <c r="B19" s="7">
        <v>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859A-E491-4577-9EBC-D556412B912D}">
  <dimension ref="A3:B23"/>
  <sheetViews>
    <sheetView workbookViewId="0">
      <selection activeCell="A4" sqref="A4"/>
    </sheetView>
  </sheetViews>
  <sheetFormatPr defaultRowHeight="14.4" x14ac:dyDescent="0.3"/>
  <cols>
    <col min="1" max="1" width="29.33203125" bestFit="1" customWidth="1"/>
    <col min="2" max="2" width="22.5546875" bestFit="1" customWidth="1"/>
  </cols>
  <sheetData>
    <row r="3" spans="1:2" x14ac:dyDescent="0.3">
      <c r="A3" s="4" t="s">
        <v>35</v>
      </c>
      <c r="B3" s="5" t="s">
        <v>37</v>
      </c>
    </row>
    <row r="4" spans="1:2" x14ac:dyDescent="0.3">
      <c r="A4" s="6" t="s">
        <v>7</v>
      </c>
      <c r="B4" s="7">
        <v>12</v>
      </c>
    </row>
    <row r="5" spans="1:2" x14ac:dyDescent="0.3">
      <c r="A5" s="8" t="s">
        <v>23</v>
      </c>
      <c r="B5" s="7">
        <v>1</v>
      </c>
    </row>
    <row r="6" spans="1:2" x14ac:dyDescent="0.3">
      <c r="A6" s="8" t="s">
        <v>26</v>
      </c>
      <c r="B6" s="7">
        <v>1</v>
      </c>
    </row>
    <row r="7" spans="1:2" x14ac:dyDescent="0.3">
      <c r="A7" s="8" t="s">
        <v>29</v>
      </c>
      <c r="B7" s="7">
        <v>5</v>
      </c>
    </row>
    <row r="8" spans="1:2" x14ac:dyDescent="0.3">
      <c r="A8" s="8" t="s">
        <v>30</v>
      </c>
      <c r="B8" s="7">
        <v>5</v>
      </c>
    </row>
    <row r="9" spans="1:2" x14ac:dyDescent="0.3">
      <c r="A9" s="6" t="s">
        <v>15</v>
      </c>
      <c r="B9" s="7">
        <v>6</v>
      </c>
    </row>
    <row r="10" spans="1:2" x14ac:dyDescent="0.3">
      <c r="A10" s="6" t="s">
        <v>9</v>
      </c>
      <c r="B10" s="7">
        <v>5</v>
      </c>
    </row>
    <row r="11" spans="1:2" x14ac:dyDescent="0.3">
      <c r="A11" s="6" t="s">
        <v>17</v>
      </c>
      <c r="B11" s="7">
        <v>59</v>
      </c>
    </row>
    <row r="12" spans="1:2" x14ac:dyDescent="0.3">
      <c r="A12" s="6" t="s">
        <v>6</v>
      </c>
      <c r="B12" s="7">
        <v>102</v>
      </c>
    </row>
    <row r="13" spans="1:2" x14ac:dyDescent="0.3">
      <c r="A13" s="6" t="s">
        <v>13</v>
      </c>
      <c r="B13" s="7">
        <v>4</v>
      </c>
    </row>
    <row r="14" spans="1:2" x14ac:dyDescent="0.3">
      <c r="A14" s="6" t="s">
        <v>14</v>
      </c>
      <c r="B14" s="7">
        <v>2</v>
      </c>
    </row>
    <row r="15" spans="1:2" x14ac:dyDescent="0.3">
      <c r="A15" s="6" t="s">
        <v>10</v>
      </c>
      <c r="B15" s="7">
        <v>12</v>
      </c>
    </row>
    <row r="16" spans="1:2" x14ac:dyDescent="0.3">
      <c r="A16" s="6" t="s">
        <v>11</v>
      </c>
      <c r="B16" s="7">
        <v>19</v>
      </c>
    </row>
    <row r="17" spans="1:2" x14ac:dyDescent="0.3">
      <c r="A17" s="6" t="s">
        <v>8</v>
      </c>
      <c r="B17" s="7">
        <v>33</v>
      </c>
    </row>
    <row r="18" spans="1:2" x14ac:dyDescent="0.3">
      <c r="A18" s="6" t="s">
        <v>12</v>
      </c>
      <c r="B18" s="7">
        <v>12</v>
      </c>
    </row>
    <row r="19" spans="1:2" x14ac:dyDescent="0.3">
      <c r="A19" s="6" t="s">
        <v>5</v>
      </c>
      <c r="B19" s="7">
        <v>139</v>
      </c>
    </row>
    <row r="20" spans="1:2" x14ac:dyDescent="0.3">
      <c r="A20" s="6" t="s">
        <v>4</v>
      </c>
      <c r="B20" s="7">
        <v>52</v>
      </c>
    </row>
    <row r="21" spans="1:2" x14ac:dyDescent="0.3">
      <c r="A21" s="6" t="s">
        <v>16</v>
      </c>
      <c r="B21" s="7">
        <v>1</v>
      </c>
    </row>
    <row r="22" spans="1:2" x14ac:dyDescent="0.3">
      <c r="A22" s="6" t="s">
        <v>3</v>
      </c>
      <c r="B22" s="7">
        <v>73</v>
      </c>
    </row>
    <row r="23" spans="1:2" x14ac:dyDescent="0.3">
      <c r="A23" s="6" t="s">
        <v>36</v>
      </c>
      <c r="B23" s="7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1</vt:lpstr>
      <vt:lpstr>Pivot 2</vt:lpstr>
      <vt:lpstr>Pivot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Chavi Jain</dc:creator>
  <cp:lastModifiedBy>Chavi Jain</cp:lastModifiedBy>
  <dcterms:created xsi:type="dcterms:W3CDTF">2026-01-16T11:30:18Z</dcterms:created>
  <dcterms:modified xsi:type="dcterms:W3CDTF">2026-01-16T12:06:19Z</dcterms:modified>
</cp:coreProperties>
</file>